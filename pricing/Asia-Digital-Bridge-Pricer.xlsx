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r" sheetId="1" state="visible" r:id="rId1"/>
    <sheet xmlns:r="http://schemas.openxmlformats.org/officeDocument/2006/relationships" name="Payoff" sheetId="2" state="visible" r:id="rId2"/>
    <sheet xmlns:r="http://schemas.openxmlformats.org/officeDocument/2006/relationships" name="Design Dial" sheetId="3" state="visible" r:id="rId3"/>
    <sheet xmlns:r="http://schemas.openxmlformats.org/officeDocument/2006/relationships" name="MC Results" sheetId="4" state="visible" r:id="rId4"/>
    <sheet xmlns:r="http://schemas.openxmlformats.org/officeDocument/2006/relationships" name="Risk" sheetId="5" state="visible" r:id="rId5"/>
    <sheet xmlns:r="http://schemas.openxmlformats.org/officeDocument/2006/relationships" name="Basket" sheetId="6" state="visible" r:id="rId6"/>
    <sheet xmlns:r="http://schemas.openxmlformats.org/officeDocument/2006/relationships" name="Term 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000"/>
    <numFmt numFmtId="166" formatCode="0.00x"/>
    <numFmt numFmtId="167" formatCode="0.000%"/>
    <numFmt numFmtId="168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23A5A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23A5A"/>
      </patternFill>
    </fill>
    <fill>
      <patternFill patternType="solid">
        <fgColor rgb="00FFFF00"/>
      </patternFill>
    </fill>
    <fill>
      <patternFill patternType="solid">
        <fgColor rgb="00E8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10" fontId="5" fillId="0" borderId="0" pivotButton="0" quotePrefix="0" xfId="0"/>
    <xf numFmtId="9" fontId="5" fillId="0" borderId="0" pivotButton="0" quotePrefix="0" xfId="0"/>
    <xf numFmtId="10" fontId="5" fillId="3" borderId="0" pivotButton="0" quotePrefix="0" xfId="0"/>
    <xf numFmtId="165" fontId="5" fillId="3" borderId="0" pivotButton="0" quotePrefix="0" xfId="0"/>
    <xf numFmtId="10" fontId="6" fillId="0" borderId="0" pivotButton="0" quotePrefix="0" xfId="0"/>
    <xf numFmtId="165" fontId="6" fillId="0" borderId="0" pivotButton="0" quotePrefix="0" xfId="0"/>
    <xf numFmtId="9" fontId="6" fillId="0" borderId="0" pivotButton="0" quotePrefix="0" xfId="0"/>
    <xf numFmtId="0" fontId="7" fillId="0" borderId="0" pivotButton="0" quotePrefix="0" xfId="0"/>
    <xf numFmtId="9" fontId="7" fillId="4" borderId="0" pivotButton="0" quotePrefix="0" xfId="0"/>
    <xf numFmtId="164" fontId="6" fillId="0" borderId="0" pivotButton="0" quotePrefix="0" xfId="0"/>
    <xf numFmtId="0" fontId="6" fillId="0" borderId="0" pivotButton="0" quotePrefix="0" xfId="0"/>
    <xf numFmtId="9" fontId="8" fillId="0" borderId="0" pivotButton="0" quotePrefix="0" xfId="0"/>
    <xf numFmtId="1" fontId="8" fillId="0" borderId="0" pivotButton="0" quotePrefix="0" xfId="0"/>
    <xf numFmtId="9" fontId="3" fillId="2" borderId="0" applyAlignment="1" pivotButton="0" quotePrefix="0" xfId="0">
      <alignment horizontal="center" wrapText="1"/>
    </xf>
    <xf numFmtId="166" fontId="5" fillId="0" borderId="0" pivotButton="0" quotePrefix="0" xfId="0"/>
    <xf numFmtId="167" fontId="5" fillId="0" borderId="0" pivotButton="0" quotePrefix="0" xfId="0"/>
    <xf numFmtId="0" fontId="5" fillId="0" borderId="0" pivotButton="0" quotePrefix="0" xfId="0"/>
    <xf numFmtId="168" fontId="6" fillId="0" borderId="0" pivotButton="0" quotePrefix="0" xfId="0"/>
    <xf numFmtId="3" fontId="5" fillId="3" borderId="0" pivotButton="0" quotePrefix="0" xfId="0"/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Team</author>
  </authors>
  <commentList>
    <comment ref="B5" authorId="0" shapeId="0">
      <text>
        <t>Client mandate: USD 100Mn (rules, Scenario 2)</t>
      </text>
    </comment>
    <comment ref="B6" authorId="0" shapeId="0">
      <text>
        <t>Team choice: 7Y = one-generation handover window</t>
      </text>
    </comment>
    <comment ref="B7" authorId="0" shapeId="0">
      <text>
        <t>100% of notional, subject to Natixis credit</t>
      </text>
    </comment>
    <comment ref="B8" authorId="0" shapeId="0">
      <text>
        <t>Assumption: 2% over the life (~29bp p.a.)</t>
      </text>
    </comment>
    <comment ref="B9" authorId="0" shapeId="0">
      <text>
        <t>Assumption: USD OIS/SOFR 7Y; replace with Bloomberg USSO7 Curncy</t>
      </text>
    </comment>
    <comment ref="B10" authorId="0" shapeId="0">
      <text>
        <t>Index design choice (see Design Dial)</t>
      </text>
    </comment>
    <comment ref="B11" authorId="0" shapeId="0">
      <text>
        <t>Index design choice (see Design Dial)</t>
      </text>
    </comment>
    <comment ref="B12" authorId="0" shapeId="0">
      <text>
        <t>From scenario2_vt_note.py: Monte Carlo price of the call (regime-switching basket, vol-target lag) / BS price at target vol</t>
      </text>
    </comment>
  </commentList>
</comments>
</file>

<file path=xl/comments/comment2.xml><?xml version="1.0" encoding="utf-8"?>
<comments xmlns="http://schemas.openxmlformats.org/spreadsheetml/2006/main">
  <authors>
    <author>Team</author>
  </authors>
  <commentList>
    <comment ref="B9" authorId="0" shapeId="0">
      <text>
        <t>Rules: combined net worth exceeding USD 2Bn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" customWidth="1" min="3" max="3"/>
    <col width="12" customWidth="1" min="4" max="4"/>
    <col width="12" customWidth="1" min="5" max="5"/>
    <col width="4" customWidth="1" min="6" max="6"/>
    <col width="60" customWidth="1" min="7" max="7"/>
  </cols>
  <sheetData>
    <row r="1">
      <c r="A1" s="1" t="inlineStr">
        <is>
          <t>Asia Digital Bridge Note: 7Y USD 100% capital-protected note on a 10% vol-target index</t>
        </is>
      </c>
    </row>
    <row r="2">
      <c r="A2" s="2" t="inlineStr">
        <is>
          <t>Blue = input (edit these), black = formula, green = link to another sheet. Yellow = key assumption to verify on Bloomberg as of 17 Sep 2026.</t>
        </is>
      </c>
    </row>
    <row r="4">
      <c r="A4" s="3" t="inlineStr">
        <is>
          <t>Inputs</t>
        </is>
      </c>
      <c r="B4" s="3" t="inlineStr">
        <is>
          <t>Value</t>
        </is>
      </c>
      <c r="D4" s="3" t="inlineStr">
        <is>
          <t>Tenor</t>
        </is>
      </c>
      <c r="E4" s="3" t="inlineStr">
        <is>
          <t>USD funding</t>
        </is>
      </c>
    </row>
    <row r="5">
      <c r="A5" s="4" t="inlineStr">
        <is>
          <t>Notional (USD)</t>
        </is>
      </c>
      <c r="B5" s="5" t="n">
        <v>100000000</v>
      </c>
      <c r="D5" s="6" t="n">
        <v>1</v>
      </c>
      <c r="E5" s="7" t="n">
        <v>0.0478</v>
      </c>
    </row>
    <row r="6">
      <c r="A6" s="4" t="inlineStr">
        <is>
          <t>Tenor (years)</t>
        </is>
      </c>
      <c r="B6" s="6" t="n">
        <v>7</v>
      </c>
      <c r="D6" s="6" t="n">
        <v>2</v>
      </c>
      <c r="E6" s="7" t="n">
        <v>0.053</v>
      </c>
    </row>
    <row r="7">
      <c r="A7" s="4" t="inlineStr">
        <is>
          <t>Capital protection at maturity</t>
        </is>
      </c>
      <c r="B7" s="8" t="n">
        <v>1</v>
      </c>
      <c r="D7" s="6" t="n">
        <v>3</v>
      </c>
      <c r="E7" s="7" t="n">
        <v>0.0552</v>
      </c>
    </row>
    <row r="8">
      <c r="A8" s="4" t="inlineStr">
        <is>
          <t>Issuer fee / margin (upfront)</t>
        </is>
      </c>
      <c r="B8" s="9" t="n">
        <v>0.02</v>
      </c>
      <c r="D8" s="6" t="n">
        <v>5</v>
      </c>
      <c r="E8" s="7" t="n">
        <v>0.0569</v>
      </c>
    </row>
    <row r="9">
      <c r="A9" s="4" t="inlineStr">
        <is>
          <t>USD rate for option pricing (OIS)</t>
        </is>
      </c>
      <c r="B9" s="9" t="n">
        <v>0.0375</v>
      </c>
      <c r="D9" s="6" t="n">
        <v>7</v>
      </c>
      <c r="E9" s="7" t="n">
        <v>0.0575</v>
      </c>
    </row>
    <row r="10">
      <c r="A10" s="4" t="inlineStr">
        <is>
          <t>VT index: target volatility</t>
        </is>
      </c>
      <c r="B10" s="7" t="n">
        <v>0.1</v>
      </c>
      <c r="D10" s="6" t="n">
        <v>10</v>
      </c>
      <c r="E10" s="7" t="n">
        <v>0.0582</v>
      </c>
    </row>
    <row r="11">
      <c r="A11" s="4" t="inlineStr">
        <is>
          <t>VT index: decrement p.a.</t>
        </is>
      </c>
      <c r="B11" s="7" t="n">
        <v>0.01</v>
      </c>
      <c r="D11" s="6" t="n">
        <v>20</v>
      </c>
      <c r="E11" s="7" t="n">
        <v>0.0604</v>
      </c>
    </row>
    <row r="12">
      <c r="A12" s="4" t="inlineStr">
        <is>
          <t>MC / Black-Scholes price ratio</t>
        </is>
      </c>
      <c r="B12" s="10" t="n">
        <v>0.9607321121415533</v>
      </c>
      <c r="D12" s="2" t="inlineStr">
        <is>
          <t>Source: 2026 game rules, Natixis funding grid (USD).</t>
        </is>
      </c>
    </row>
    <row r="14">
      <c r="A14" s="3" t="inlineStr">
        <is>
          <t>Pricing</t>
        </is>
      </c>
      <c r="B14" s="3" t="inlineStr">
        <is>
          <t>Value</t>
        </is>
      </c>
    </row>
    <row r="15">
      <c r="A15" s="4" t="inlineStr">
        <is>
          <t>Interpolated USD funding rate</t>
        </is>
      </c>
      <c r="B15" s="11">
        <f>IF($B$6&gt;=MAX($D$5:$D$11),INDEX($E$5:$E$11,ROWS($D$5:$D$11)),INDEX($E$5:$E$11,MATCH($B$6,$D$5:$D$11,1))+(INDEX($E$5:$E$11,MATCH($B$6,$D$5:$D$11,1)+1)-INDEX($E$5:$E$11,MATCH($B$6,$D$5:$D$11,1)))*($B$6-INDEX($D$5:$D$11,MATCH($B$6,$D$5:$D$11,1)))/(INDEX($D$5:$D$11,MATCH($B$6,$D$5:$D$11,1)+1)-INDEX($D$5:$D$11,MATCH($B$6,$D$5:$D$11,1))))</f>
        <v/>
      </c>
      <c r="G15" s="2" t="inlineStr">
        <is>
          <t>Linear interpolation on the grid (rules, footnote 1)</t>
        </is>
      </c>
    </row>
    <row r="16">
      <c r="A16" s="4" t="inlineStr">
        <is>
          <t>Zero-coupon bond price (% notional)</t>
        </is>
      </c>
      <c r="B16" s="11">
        <f>$B$7/(1+B15)^$B$6</f>
        <v/>
      </c>
      <c r="G16" s="2" t="inlineStr">
        <is>
          <t>Protection / (1 + funding)^T</t>
        </is>
      </c>
    </row>
    <row r="17">
      <c r="A17" s="4" t="inlineStr">
        <is>
          <t>Option budget (% notional)</t>
        </is>
      </c>
      <c r="B17" s="11">
        <f>1-B16-$B$8</f>
        <v/>
      </c>
      <c r="G17" s="2" t="inlineStr">
        <is>
          <t>100% - bond - fee</t>
        </is>
      </c>
    </row>
    <row r="18">
      <c r="A18" s="4" t="inlineStr">
        <is>
          <t>BS d1</t>
        </is>
      </c>
      <c r="B18" s="12">
        <f>(($B$9-$B$11)+0.5*$B$10^2)*$B$6/($B$10*SQRT($B$6))</f>
        <v/>
      </c>
      <c r="G18" s="2" t="inlineStr">
        <is>
          <t>VT index forward drifts at r - decrement</t>
        </is>
      </c>
    </row>
    <row r="19">
      <c r="A19" s="4" t="inlineStr">
        <is>
          <t>BS d2</t>
        </is>
      </c>
      <c r="B19" s="12">
        <f>B18-$B$10*SQRT($B$6)</f>
        <v/>
      </c>
      <c r="G19" s="2" t="inlineStr"/>
    </row>
    <row r="20">
      <c r="A20" s="4" t="inlineStr">
        <is>
          <t>ATM call on VT index, Black-Scholes (% notional)</t>
        </is>
      </c>
      <c r="B20" s="11">
        <f>EXP(-$B$11*$B$6)*NORMSDIST(B18)-EXP(-$B$9*$B$6)*NORMSDIST(B19)</f>
        <v/>
      </c>
      <c r="G20" s="2" t="inlineStr"/>
    </row>
    <row r="21">
      <c r="A21" s="4" t="inlineStr">
        <is>
          <t>ATM call on VT index, MC-adjusted</t>
        </is>
      </c>
      <c r="B21" s="11">
        <f>B20*$B$12</f>
        <v/>
      </c>
      <c r="G21" s="2" t="inlineStr">
        <is>
          <t>Captures vol-target lag / gap risk</t>
        </is>
      </c>
    </row>
    <row r="22">
      <c r="A22" s="4" t="inlineStr">
        <is>
          <t>Participation (Black-Scholes)</t>
        </is>
      </c>
      <c r="B22" s="13">
        <f>IF(B20&gt;0,B17/B20,0)</f>
        <v/>
      </c>
      <c r="G22" s="2" t="inlineStr"/>
    </row>
    <row r="23">
      <c r="A23" s="14" t="inlineStr">
        <is>
          <t>PARTICIPATION (MC-adjusted, quoted)</t>
        </is>
      </c>
      <c r="B23" s="15">
        <f>IF(B21&gt;0,B17/B21,0)</f>
        <v/>
      </c>
      <c r="G23" s="2" t="inlineStr">
        <is>
          <t>Headline term for the term sheet</t>
        </is>
      </c>
    </row>
    <row r="24">
      <c r="A24" s="4" t="inlineStr">
        <is>
          <t>Bond leg (USD)</t>
        </is>
      </c>
      <c r="B24" s="16">
        <f>$B$5*B16</f>
        <v/>
      </c>
      <c r="G24" s="2" t="inlineStr"/>
    </row>
    <row r="25">
      <c r="A25" s="4" t="inlineStr">
        <is>
          <t>Option leg (USD)</t>
        </is>
      </c>
      <c r="B25" s="16">
        <f>$B$5*B17</f>
        <v/>
      </c>
      <c r="G25" s="2" t="inlineStr"/>
    </row>
    <row r="26">
      <c r="A26" s="4" t="inlineStr">
        <is>
          <t>Issuer fee (USD)</t>
        </is>
      </c>
      <c r="B26" s="16">
        <f>$B$5*$B$8</f>
        <v/>
      </c>
      <c r="G26" s="2" t="inlineStr"/>
    </row>
    <row r="27">
      <c r="A27" s="4" t="inlineStr">
        <is>
          <t>Check: legs sum to notional</t>
        </is>
      </c>
      <c r="B27" s="17">
        <f>IF(ABS(B24+B25+B26-$B$5)&lt;1,"OK","CHECK")</f>
        <v/>
      </c>
      <c r="G27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Redemption at maturity vs VT index performance</t>
        </is>
      </c>
    </row>
    <row r="2">
      <c r="A2" s="2" t="inlineStr">
        <is>
          <t>Participation and protection link to the Pricer sheet. Direct basket shown for a VT-index move only (illustrative).</t>
        </is>
      </c>
    </row>
    <row r="3">
      <c r="A3" s="17" t="inlineStr">
        <is>
          <t>Participation</t>
        </is>
      </c>
      <c r="B3" s="18">
        <f>Pricer!B23</f>
        <v/>
      </c>
      <c r="C3" s="17" t="inlineStr">
        <is>
          <t>Protection</t>
        </is>
      </c>
      <c r="D3" s="18">
        <f>Pricer!B7</f>
        <v/>
      </c>
    </row>
    <row r="4">
      <c r="A4" s="17" t="inlineStr">
        <is>
          <t>Tenor (years)</t>
        </is>
      </c>
      <c r="B4" s="19">
        <f>Pricer!B6</f>
        <v/>
      </c>
    </row>
    <row r="6">
      <c r="A6" s="3" t="inlineStr">
        <is>
          <t>VT index performance</t>
        </is>
      </c>
      <c r="B6" s="3" t="inlineStr">
        <is>
          <t>Redemption (% notional)</t>
        </is>
      </c>
      <c r="C6" s="3" t="inlineStr">
        <is>
          <t>Annualised return</t>
        </is>
      </c>
      <c r="D6" s="3" t="inlineStr">
        <is>
          <t>Payout (USD)</t>
        </is>
      </c>
      <c r="E6" s="3" t="inlineStr">
        <is>
          <t>Gain vs notional (USD)</t>
        </is>
      </c>
    </row>
    <row r="7">
      <c r="A7" s="8" t="n">
        <v>-0.4</v>
      </c>
      <c r="B7" s="11">
        <f>$D$3+$B$3*MAX(0,A7)</f>
        <v/>
      </c>
      <c r="C7" s="11">
        <f>B7^(1/$B$4)-1</f>
        <v/>
      </c>
      <c r="D7" s="16">
        <f>B7*Pricer!$B$5</f>
        <v/>
      </c>
      <c r="E7" s="16">
        <f>D7-Pricer!$B$5</f>
        <v/>
      </c>
    </row>
    <row r="8">
      <c r="A8" s="8" t="n">
        <v>-0.2</v>
      </c>
      <c r="B8" s="11">
        <f>$D$3+$B$3*MAX(0,A8)</f>
        <v/>
      </c>
      <c r="C8" s="11">
        <f>B8^(1/$B$4)-1</f>
        <v/>
      </c>
      <c r="D8" s="16">
        <f>B8*Pricer!$B$5</f>
        <v/>
      </c>
      <c r="E8" s="16">
        <f>D8-Pricer!$B$5</f>
        <v/>
      </c>
    </row>
    <row r="9">
      <c r="A9" s="8" t="n">
        <v>-0.1</v>
      </c>
      <c r="B9" s="11">
        <f>$D$3+$B$3*MAX(0,A9)</f>
        <v/>
      </c>
      <c r="C9" s="11">
        <f>B9^(1/$B$4)-1</f>
        <v/>
      </c>
      <c r="D9" s="16">
        <f>B9*Pricer!$B$5</f>
        <v/>
      </c>
      <c r="E9" s="16">
        <f>D9-Pricer!$B$5</f>
        <v/>
      </c>
    </row>
    <row r="10">
      <c r="A10" s="8" t="n">
        <v>0</v>
      </c>
      <c r="B10" s="11">
        <f>$D$3+$B$3*MAX(0,A10)</f>
        <v/>
      </c>
      <c r="C10" s="11">
        <f>B10^(1/$B$4)-1</f>
        <v/>
      </c>
      <c r="D10" s="16">
        <f>B10*Pricer!$B$5</f>
        <v/>
      </c>
      <c r="E10" s="16">
        <f>D10-Pricer!$B$5</f>
        <v/>
      </c>
    </row>
    <row r="11">
      <c r="A11" s="8" t="n">
        <v>0.1</v>
      </c>
      <c r="B11" s="11">
        <f>$D$3+$B$3*MAX(0,A11)</f>
        <v/>
      </c>
      <c r="C11" s="11">
        <f>B11^(1/$B$4)-1</f>
        <v/>
      </c>
      <c r="D11" s="16">
        <f>B11*Pricer!$B$5</f>
        <v/>
      </c>
      <c r="E11" s="16">
        <f>D11-Pricer!$B$5</f>
        <v/>
      </c>
    </row>
    <row r="12">
      <c r="A12" s="8" t="n">
        <v>0.2</v>
      </c>
      <c r="B12" s="11">
        <f>$D$3+$B$3*MAX(0,A12)</f>
        <v/>
      </c>
      <c r="C12" s="11">
        <f>B12^(1/$B$4)-1</f>
        <v/>
      </c>
      <c r="D12" s="16">
        <f>B12*Pricer!$B$5</f>
        <v/>
      </c>
      <c r="E12" s="16">
        <f>D12-Pricer!$B$5</f>
        <v/>
      </c>
    </row>
    <row r="13">
      <c r="A13" s="8" t="n">
        <v>0.3</v>
      </c>
      <c r="B13" s="11">
        <f>$D$3+$B$3*MAX(0,A13)</f>
        <v/>
      </c>
      <c r="C13" s="11">
        <f>B13^(1/$B$4)-1</f>
        <v/>
      </c>
      <c r="D13" s="16">
        <f>B13*Pricer!$B$5</f>
        <v/>
      </c>
      <c r="E13" s="16">
        <f>D13-Pricer!$B$5</f>
        <v/>
      </c>
    </row>
    <row r="14">
      <c r="A14" s="8" t="n">
        <v>0.5</v>
      </c>
      <c r="B14" s="11">
        <f>$D$3+$B$3*MAX(0,A14)</f>
        <v/>
      </c>
      <c r="C14" s="11">
        <f>B14^(1/$B$4)-1</f>
        <v/>
      </c>
      <c r="D14" s="16">
        <f>B14*Pricer!$B$5</f>
        <v/>
      </c>
      <c r="E14" s="16">
        <f>D14-Pricer!$B$5</f>
        <v/>
      </c>
    </row>
    <row r="15">
      <c r="A15" s="8" t="n">
        <v>0.75</v>
      </c>
      <c r="B15" s="11">
        <f>$D$3+$B$3*MAX(0,A15)</f>
        <v/>
      </c>
      <c r="C15" s="11">
        <f>B15^(1/$B$4)-1</f>
        <v/>
      </c>
      <c r="D15" s="16">
        <f>B15*Pricer!$B$5</f>
        <v/>
      </c>
      <c r="E15" s="16">
        <f>D15-Pricer!$B$5</f>
        <v/>
      </c>
    </row>
    <row r="16">
      <c r="A16" s="8" t="n">
        <v>1</v>
      </c>
      <c r="B16" s="11">
        <f>$D$3+$B$3*MAX(0,A16)</f>
        <v/>
      </c>
      <c r="C16" s="11">
        <f>B16^(1/$B$4)-1</f>
        <v/>
      </c>
      <c r="D16" s="16">
        <f>B16*Pricer!$B$5</f>
        <v/>
      </c>
      <c r="E16" s="16">
        <f>D16-Pricer!$B$5</f>
        <v/>
      </c>
    </row>
    <row r="17">
      <c r="A17" s="8" t="n">
        <v>1.5</v>
      </c>
      <c r="B17" s="11">
        <f>$D$3+$B$3*MAX(0,A17)</f>
        <v/>
      </c>
      <c r="C17" s="11">
        <f>B17^(1/$B$4)-1</f>
        <v/>
      </c>
      <c r="D17" s="16">
        <f>B17*Pricer!$B$5</f>
        <v/>
      </c>
      <c r="E17" s="16">
        <f>D17-Pricer!$B$5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Participation by index design (Black-Scholes x MC ratio; links to Pricer)</t>
        </is>
      </c>
    </row>
    <row r="2">
      <c r="A2" s="2" t="inlineStr">
        <is>
          <t>Higher decrement lowers the index forward and buys a bigger headline participation, but adds drag. See MC Results for what the client actually receives.</t>
        </is>
      </c>
    </row>
    <row r="4">
      <c r="A4" s="3" t="inlineStr">
        <is>
          <t>Target vol \ decrement</t>
        </is>
      </c>
      <c r="B4" s="20" t="n">
        <v>0</v>
      </c>
      <c r="C4" s="20" t="n">
        <v>0.01</v>
      </c>
      <c r="D4" s="20" t="n">
        <v>0.02</v>
      </c>
      <c r="E4" s="20" t="n">
        <v>0.03</v>
      </c>
      <c r="F4" s="20" t="n">
        <v>0.04</v>
      </c>
    </row>
    <row r="5">
      <c r="A5" s="8" t="n">
        <v>0.08</v>
      </c>
      <c r="B5" s="13">
        <f>Pricer!$B$17/(EXP(-B$4*Pricer!$B$6)*NORMSDIST(((Pricer!$B$9-B$4)+0.5*$A5^2)*Pricer!$B$6/($A5*SQRT(Pricer!$B$6)))-EXP(-Pricer!$B$9*Pricer!$B$6)*NORMSDIST(((Pricer!$B$9-B$4)+0.5*$A5^2)*Pricer!$B$6/($A5*SQRT(Pricer!$B$6))-$A5*SQRT(Pricer!$B$6)))*Pricer!$B$12</f>
        <v/>
      </c>
      <c r="C5" s="13">
        <f>Pricer!$B$17/(EXP(-C$4*Pricer!$B$6)*NORMSDIST(((Pricer!$B$9-C$4)+0.5*$A5^2)*Pricer!$B$6/($A5*SQRT(Pricer!$B$6)))-EXP(-Pricer!$B$9*Pricer!$B$6)*NORMSDIST(((Pricer!$B$9-C$4)+0.5*$A5^2)*Pricer!$B$6/($A5*SQRT(Pricer!$B$6))-$A5*SQRT(Pricer!$B$6)))*Pricer!$B$12</f>
        <v/>
      </c>
      <c r="D5" s="13">
        <f>Pricer!$B$17/(EXP(-D$4*Pricer!$B$6)*NORMSDIST(((Pricer!$B$9-D$4)+0.5*$A5^2)*Pricer!$B$6/($A5*SQRT(Pricer!$B$6)))-EXP(-Pricer!$B$9*Pricer!$B$6)*NORMSDIST(((Pricer!$B$9-D$4)+0.5*$A5^2)*Pricer!$B$6/($A5*SQRT(Pricer!$B$6))-$A5*SQRT(Pricer!$B$6)))*Pricer!$B$12</f>
        <v/>
      </c>
      <c r="E5" s="13">
        <f>Pricer!$B$17/(EXP(-E$4*Pricer!$B$6)*NORMSDIST(((Pricer!$B$9-E$4)+0.5*$A5^2)*Pricer!$B$6/($A5*SQRT(Pricer!$B$6)))-EXP(-Pricer!$B$9*Pricer!$B$6)*NORMSDIST(((Pricer!$B$9-E$4)+0.5*$A5^2)*Pricer!$B$6/($A5*SQRT(Pricer!$B$6))-$A5*SQRT(Pricer!$B$6)))*Pricer!$B$12</f>
        <v/>
      </c>
      <c r="F5" s="13">
        <f>Pricer!$B$17/(EXP(-F$4*Pricer!$B$6)*NORMSDIST(((Pricer!$B$9-F$4)+0.5*$A5^2)*Pricer!$B$6/($A5*SQRT(Pricer!$B$6)))-EXP(-Pricer!$B$9*Pricer!$B$6)*NORMSDIST(((Pricer!$B$9-F$4)+0.5*$A5^2)*Pricer!$B$6/($A5*SQRT(Pricer!$B$6))-$A5*SQRT(Pricer!$B$6)))*Pricer!$B$12</f>
        <v/>
      </c>
    </row>
    <row r="6">
      <c r="A6" s="8" t="n">
        <v>0.1</v>
      </c>
      <c r="B6" s="13">
        <f>Pricer!$B$17/(EXP(-B$4*Pricer!$B$6)*NORMSDIST(((Pricer!$B$9-B$4)+0.5*$A6^2)*Pricer!$B$6/($A6*SQRT(Pricer!$B$6)))-EXP(-Pricer!$B$9*Pricer!$B$6)*NORMSDIST(((Pricer!$B$9-B$4)+0.5*$A6^2)*Pricer!$B$6/($A6*SQRT(Pricer!$B$6))-$A6*SQRT(Pricer!$B$6)))*Pricer!$B$12</f>
        <v/>
      </c>
      <c r="C6" s="13">
        <f>Pricer!$B$17/(EXP(-C$4*Pricer!$B$6)*NORMSDIST(((Pricer!$B$9-C$4)+0.5*$A6^2)*Pricer!$B$6/($A6*SQRT(Pricer!$B$6)))-EXP(-Pricer!$B$9*Pricer!$B$6)*NORMSDIST(((Pricer!$B$9-C$4)+0.5*$A6^2)*Pricer!$B$6/($A6*SQRT(Pricer!$B$6))-$A6*SQRT(Pricer!$B$6)))*Pricer!$B$12</f>
        <v/>
      </c>
      <c r="D6" s="13">
        <f>Pricer!$B$17/(EXP(-D$4*Pricer!$B$6)*NORMSDIST(((Pricer!$B$9-D$4)+0.5*$A6^2)*Pricer!$B$6/($A6*SQRT(Pricer!$B$6)))-EXP(-Pricer!$B$9*Pricer!$B$6)*NORMSDIST(((Pricer!$B$9-D$4)+0.5*$A6^2)*Pricer!$B$6/($A6*SQRT(Pricer!$B$6))-$A6*SQRT(Pricer!$B$6)))*Pricer!$B$12</f>
        <v/>
      </c>
      <c r="E6" s="13">
        <f>Pricer!$B$17/(EXP(-E$4*Pricer!$B$6)*NORMSDIST(((Pricer!$B$9-E$4)+0.5*$A6^2)*Pricer!$B$6/($A6*SQRT(Pricer!$B$6)))-EXP(-Pricer!$B$9*Pricer!$B$6)*NORMSDIST(((Pricer!$B$9-E$4)+0.5*$A6^2)*Pricer!$B$6/($A6*SQRT(Pricer!$B$6))-$A6*SQRT(Pricer!$B$6)))*Pricer!$B$12</f>
        <v/>
      </c>
      <c r="F6" s="13">
        <f>Pricer!$B$17/(EXP(-F$4*Pricer!$B$6)*NORMSDIST(((Pricer!$B$9-F$4)+0.5*$A6^2)*Pricer!$B$6/($A6*SQRT(Pricer!$B$6)))-EXP(-Pricer!$B$9*Pricer!$B$6)*NORMSDIST(((Pricer!$B$9-F$4)+0.5*$A6^2)*Pricer!$B$6/($A6*SQRT(Pricer!$B$6))-$A6*SQRT(Pricer!$B$6)))*Pricer!$B$12</f>
        <v/>
      </c>
    </row>
    <row r="7">
      <c r="A7" s="8" t="n">
        <v>0.12</v>
      </c>
      <c r="B7" s="13">
        <f>Pricer!$B$17/(EXP(-B$4*Pricer!$B$6)*NORMSDIST(((Pricer!$B$9-B$4)+0.5*$A7^2)*Pricer!$B$6/($A7*SQRT(Pricer!$B$6)))-EXP(-Pricer!$B$9*Pricer!$B$6)*NORMSDIST(((Pricer!$B$9-B$4)+0.5*$A7^2)*Pricer!$B$6/($A7*SQRT(Pricer!$B$6))-$A7*SQRT(Pricer!$B$6)))*Pricer!$B$12</f>
        <v/>
      </c>
      <c r="C7" s="13">
        <f>Pricer!$B$17/(EXP(-C$4*Pricer!$B$6)*NORMSDIST(((Pricer!$B$9-C$4)+0.5*$A7^2)*Pricer!$B$6/($A7*SQRT(Pricer!$B$6)))-EXP(-Pricer!$B$9*Pricer!$B$6)*NORMSDIST(((Pricer!$B$9-C$4)+0.5*$A7^2)*Pricer!$B$6/($A7*SQRT(Pricer!$B$6))-$A7*SQRT(Pricer!$B$6)))*Pricer!$B$12</f>
        <v/>
      </c>
      <c r="D7" s="13">
        <f>Pricer!$B$17/(EXP(-D$4*Pricer!$B$6)*NORMSDIST(((Pricer!$B$9-D$4)+0.5*$A7^2)*Pricer!$B$6/($A7*SQRT(Pricer!$B$6)))-EXP(-Pricer!$B$9*Pricer!$B$6)*NORMSDIST(((Pricer!$B$9-D$4)+0.5*$A7^2)*Pricer!$B$6/($A7*SQRT(Pricer!$B$6))-$A7*SQRT(Pricer!$B$6)))*Pricer!$B$12</f>
        <v/>
      </c>
      <c r="E7" s="13">
        <f>Pricer!$B$17/(EXP(-E$4*Pricer!$B$6)*NORMSDIST(((Pricer!$B$9-E$4)+0.5*$A7^2)*Pricer!$B$6/($A7*SQRT(Pricer!$B$6)))-EXP(-Pricer!$B$9*Pricer!$B$6)*NORMSDIST(((Pricer!$B$9-E$4)+0.5*$A7^2)*Pricer!$B$6/($A7*SQRT(Pricer!$B$6))-$A7*SQRT(Pricer!$B$6)))*Pricer!$B$12</f>
        <v/>
      </c>
      <c r="F7" s="13">
        <f>Pricer!$B$17/(EXP(-F$4*Pricer!$B$6)*NORMSDIST(((Pricer!$B$9-F$4)+0.5*$A7^2)*Pricer!$B$6/($A7*SQRT(Pricer!$B$6)))-EXP(-Pricer!$B$9*Pricer!$B$6)*NORMSDIST(((Pricer!$B$9-F$4)+0.5*$A7^2)*Pricer!$B$6/($A7*SQRT(Pricer!$B$6))-$A7*SQRT(Pricer!$B$6)))*Pricer!$B$12</f>
        <v/>
      </c>
    </row>
    <row r="8">
      <c r="A8" s="8" t="n">
        <v>0.15</v>
      </c>
      <c r="B8" s="13">
        <f>Pricer!$B$17/(EXP(-B$4*Pricer!$B$6)*NORMSDIST(((Pricer!$B$9-B$4)+0.5*$A8^2)*Pricer!$B$6/($A8*SQRT(Pricer!$B$6)))-EXP(-Pricer!$B$9*Pricer!$B$6)*NORMSDIST(((Pricer!$B$9-B$4)+0.5*$A8^2)*Pricer!$B$6/($A8*SQRT(Pricer!$B$6))-$A8*SQRT(Pricer!$B$6)))*Pricer!$B$12</f>
        <v/>
      </c>
      <c r="C8" s="13">
        <f>Pricer!$B$17/(EXP(-C$4*Pricer!$B$6)*NORMSDIST(((Pricer!$B$9-C$4)+0.5*$A8^2)*Pricer!$B$6/($A8*SQRT(Pricer!$B$6)))-EXP(-Pricer!$B$9*Pricer!$B$6)*NORMSDIST(((Pricer!$B$9-C$4)+0.5*$A8^2)*Pricer!$B$6/($A8*SQRT(Pricer!$B$6))-$A8*SQRT(Pricer!$B$6)))*Pricer!$B$12</f>
        <v/>
      </c>
      <c r="D8" s="13">
        <f>Pricer!$B$17/(EXP(-D$4*Pricer!$B$6)*NORMSDIST(((Pricer!$B$9-D$4)+0.5*$A8^2)*Pricer!$B$6/($A8*SQRT(Pricer!$B$6)))-EXP(-Pricer!$B$9*Pricer!$B$6)*NORMSDIST(((Pricer!$B$9-D$4)+0.5*$A8^2)*Pricer!$B$6/($A8*SQRT(Pricer!$B$6))-$A8*SQRT(Pricer!$B$6)))*Pricer!$B$12</f>
        <v/>
      </c>
      <c r="E8" s="13">
        <f>Pricer!$B$17/(EXP(-E$4*Pricer!$B$6)*NORMSDIST(((Pricer!$B$9-E$4)+0.5*$A8^2)*Pricer!$B$6/($A8*SQRT(Pricer!$B$6)))-EXP(-Pricer!$B$9*Pricer!$B$6)*NORMSDIST(((Pricer!$B$9-E$4)+0.5*$A8^2)*Pricer!$B$6/($A8*SQRT(Pricer!$B$6))-$A8*SQRT(Pricer!$B$6)))*Pricer!$B$12</f>
        <v/>
      </c>
      <c r="F8" s="13">
        <f>Pricer!$B$17/(EXP(-F$4*Pricer!$B$6)*NORMSDIST(((Pricer!$B$9-F$4)+0.5*$A8^2)*Pricer!$B$6/($A8*SQRT(Pricer!$B$6)))-EXP(-Pricer!$B$9*Pricer!$B$6)*NORMSDIST(((Pricer!$B$9-F$4)+0.5*$A8^2)*Pricer!$B$6/($A8*SQRT(Pricer!$B$6))-$A8*SQRT(Pricer!$B$6)))*Pricer!$B$12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Monte Carlo outputs (values pasted from pricing/scenario2_vt_note.py)</t>
        </is>
      </c>
    </row>
    <row r="2">
      <c r="A2" s="2" t="inlineStr">
        <is>
          <t>Placeholder market inputs (regime vol 27%/50%, OIS 3.75%, raw-basket implied vol 33%). Forward simulation, NOT a historical backtest.</t>
        </is>
      </c>
    </row>
    <row r="4">
      <c r="A4" s="14" t="inlineStr">
        <is>
          <t>Feature menu (same simulated paths)</t>
        </is>
      </c>
    </row>
    <row r="5">
      <c r="A5" s="3" t="inlineStr">
        <is>
          <t>Feature</t>
        </is>
      </c>
      <c r="B5" s="3" t="inlineStr">
        <is>
          <t>Option cost</t>
        </is>
      </c>
      <c r="C5" s="3" t="inlineStr">
        <is>
          <t>Participation</t>
        </is>
      </c>
    </row>
    <row r="6">
      <c r="A6" s="17" t="inlineStr">
        <is>
          <t>Base: uncapped call</t>
        </is>
      </c>
      <c r="B6" s="7" t="n">
        <v>0.1860539280424679</v>
      </c>
      <c r="C6" s="8" t="n">
        <v>1.63317621728325</v>
      </c>
    </row>
    <row r="7">
      <c r="A7" s="17" t="inlineStr">
        <is>
          <t>+ 12M final averaging</t>
        </is>
      </c>
      <c r="B7" s="7" t="n">
        <v>0.1741799269314789</v>
      </c>
      <c r="C7" s="8" t="n">
        <v>1.744511297967323</v>
      </c>
    </row>
    <row r="8">
      <c r="A8" s="17" t="inlineStr">
        <is>
          <t>+ Legacy Lock 130/160/190</t>
        </is>
      </c>
      <c r="B8" s="7" t="n">
        <v>0.1960663542864369</v>
      </c>
      <c r="C8" s="8" t="n">
        <v>1.549775592640309</v>
      </c>
    </row>
    <row r="9">
      <c r="A9" s="17" t="inlineStr">
        <is>
          <t>+ Lock + averaging</t>
        </is>
      </c>
      <c r="B9" s="7" t="n">
        <v>0.1824276751997126</v>
      </c>
      <c r="C9" s="8" t="n">
        <v>1.665640095881496</v>
      </c>
    </row>
    <row r="11">
      <c r="A11" s="14" t="inlineStr">
        <is>
          <t>The decrement trap: headline vs outcome</t>
        </is>
      </c>
    </row>
    <row r="12">
      <c r="A12" s="3" t="inlineStr">
        <is>
          <t>Index design</t>
        </is>
      </c>
      <c r="B12" s="3" t="inlineStr">
        <is>
          <t>Participation</t>
        </is>
      </c>
      <c r="C12" s="3" t="inlineStr">
        <is>
          <t>Median @6%</t>
        </is>
      </c>
      <c r="D12" s="3" t="inlineStr">
        <is>
          <t>P(only 100 back) @6%</t>
        </is>
      </c>
      <c r="E12" s="3" t="inlineStr">
        <is>
          <t>Median @9%</t>
        </is>
      </c>
      <c r="F12" s="3" t="inlineStr">
        <is>
          <t>P(only 100 back) @9%</t>
        </is>
      </c>
    </row>
    <row r="13">
      <c r="A13" s="17" t="inlineStr">
        <is>
          <t>Max-headline (12% / 4%)</t>
        </is>
      </c>
      <c r="B13" s="8" t="n">
        <v>3.512186083785713</v>
      </c>
      <c r="C13" s="21" t="n">
        <v>1.000788433124645</v>
      </c>
      <c r="D13" s="8" t="n">
        <v>0.4993</v>
      </c>
      <c r="E13" s="21" t="n">
        <v>1.313567175584545</v>
      </c>
      <c r="F13" s="8" t="n">
        <v>0.3956</v>
      </c>
    </row>
    <row r="14">
      <c r="A14" s="17" t="inlineStr">
        <is>
          <t>10% / 2%</t>
        </is>
      </c>
      <c r="B14" s="8" t="n">
        <v>2.140670419519987</v>
      </c>
      <c r="C14" s="21" t="n">
        <v>1.331406726874817</v>
      </c>
      <c r="D14" s="8" t="n">
        <v>0.2902</v>
      </c>
      <c r="E14" s="21" t="n">
        <v>1.513663487801304</v>
      </c>
      <c r="F14" s="8" t="n">
        <v>0.2043</v>
      </c>
    </row>
    <row r="15">
      <c r="A15" s="17" t="inlineStr">
        <is>
          <t>Recommended (10% / 1%)</t>
        </is>
      </c>
      <c r="B15" s="8" t="n">
        <v>1.60015327453743</v>
      </c>
      <c r="C15" s="21" t="n">
        <v>1.381701838554376</v>
      </c>
      <c r="D15" s="8" t="n">
        <v>0.2056</v>
      </c>
      <c r="E15" s="21" t="n">
        <v>1.527810396317611</v>
      </c>
      <c r="F15" s="8" t="n">
        <v>0.1383</v>
      </c>
    </row>
    <row r="16">
      <c r="A16" s="17" t="inlineStr">
        <is>
          <t>No decrement (10% / 0%)</t>
        </is>
      </c>
      <c r="B16" s="8" t="n">
        <v>1.233937568841018</v>
      </c>
      <c r="C16" s="21" t="n">
        <v>1.405143381388603</v>
      </c>
      <c r="D16" s="8" t="n">
        <v>0.1385</v>
      </c>
      <c r="E16" s="21" t="n">
        <v>1.525976582332643</v>
      </c>
      <c r="F16" s="8" t="n">
        <v>0.0873</v>
      </c>
    </row>
    <row r="17">
      <c r="A17" s="17" t="inlineStr">
        <is>
          <t>Raw basket, no vol target</t>
        </is>
      </c>
      <c r="B17" s="8" t="n">
        <v>0.8871088063348338</v>
      </c>
      <c r="C17" s="21" t="n">
        <v>1.100287601936849</v>
      </c>
      <c r="D17" s="8" t="n">
        <v>0.4506</v>
      </c>
      <c r="E17" s="21" t="n">
        <v>1.331020479030028</v>
      </c>
      <c r="F17" s="8" t="n">
        <v>0.3448</v>
      </c>
    </row>
    <row r="19">
      <c r="A19" s="14" t="inlineStr">
        <is>
          <t>Real-world outcomes at 7Y (multiple of capital)</t>
        </is>
      </c>
    </row>
    <row r="20">
      <c r="A20" s="3" t="inlineStr">
        <is>
          <t>Basket return / product</t>
        </is>
      </c>
      <c r="B20" s="3" t="inlineStr">
        <is>
          <t>Mean</t>
        </is>
      </c>
      <c r="C20" s="3" t="inlineStr">
        <is>
          <t>5th pct</t>
        </is>
      </c>
      <c r="D20" s="3" t="inlineStr">
        <is>
          <t>Median</t>
        </is>
      </c>
      <c r="E20" s="3" t="inlineStr">
        <is>
          <t>95th pct</t>
        </is>
      </c>
      <c r="F20" s="3" t="inlineStr">
        <is>
          <t>Median CAGR</t>
        </is>
      </c>
      <c r="G20" s="3" t="inlineStr">
        <is>
          <t>P(below 100)</t>
        </is>
      </c>
      <c r="H20" s="3" t="inlineStr">
        <is>
          <t>P(100 or less)</t>
        </is>
      </c>
    </row>
    <row r="21">
      <c r="A21" s="17" t="inlineStr">
        <is>
          <t>3% p.a. | VT note</t>
        </is>
      </c>
      <c r="B21" s="21" t="n">
        <v>1.378856868087378</v>
      </c>
      <c r="C21" s="21" t="n">
        <v>1</v>
      </c>
      <c r="D21" s="21" t="n">
        <v>1.244587127782382</v>
      </c>
      <c r="E21" s="21" t="n">
        <v>2.250585868677348</v>
      </c>
      <c r="F21" s="7" t="n">
        <v>0.03175134464910978</v>
      </c>
      <c r="G21" s="8" t="n">
        <v>0</v>
      </c>
      <c r="H21" s="8" t="n">
        <v>0.29715</v>
      </c>
    </row>
    <row r="22">
      <c r="A22" s="17" t="inlineStr">
        <is>
          <t>3% p.a. | Protected note on raw basket</t>
        </is>
      </c>
      <c r="B22" s="21" t="n">
        <v>1.422897028518891</v>
      </c>
      <c r="C22" s="21" t="n">
        <v>1</v>
      </c>
      <c r="D22" s="21" t="n">
        <v>1</v>
      </c>
      <c r="E22" s="21" t="n">
        <v>3.071916081299568</v>
      </c>
      <c r="F22" s="7" t="n">
        <v>0</v>
      </c>
      <c r="G22" s="8" t="n">
        <v>0</v>
      </c>
      <c r="H22" s="8" t="n">
        <v>0.5573</v>
      </c>
    </row>
    <row r="23">
      <c r="A23" s="17" t="inlineStr">
        <is>
          <t>3% p.a. | Direct basket</t>
        </is>
      </c>
      <c r="B23" s="21" t="n">
        <v>1.233184420604062</v>
      </c>
      <c r="C23" s="21" t="n">
        <v>0.2370151633968244</v>
      </c>
      <c r="D23" s="21" t="n">
        <v>0.8921854637891187</v>
      </c>
      <c r="E23" s="21" t="n">
        <v>3.335582812958274</v>
      </c>
      <c r="F23" s="7" t="n">
        <v>-0.01616523847580398</v>
      </c>
      <c r="G23" s="8" t="n">
        <v>0.5572</v>
      </c>
      <c r="H23" s="8" t="n">
        <v>0.5573</v>
      </c>
    </row>
    <row r="24">
      <c r="A24" s="17" t="inlineStr">
        <is>
          <t>6% p.a. | VT note</t>
        </is>
      </c>
      <c r="B24" s="21" t="n">
        <v>1.496605471555177</v>
      </c>
      <c r="C24" s="21" t="n">
        <v>1</v>
      </c>
      <c r="D24" s="21" t="n">
        <v>1.382398322640645</v>
      </c>
      <c r="E24" s="21" t="n">
        <v>2.463509535225619</v>
      </c>
      <c r="F24" s="7" t="n">
        <v>0.04734667158213113</v>
      </c>
      <c r="G24" s="8" t="n">
        <v>0</v>
      </c>
      <c r="H24" s="8" t="n">
        <v>0.2073</v>
      </c>
    </row>
    <row r="25">
      <c r="A25" s="17" t="inlineStr">
        <is>
          <t>6% p.a. | Protected note on raw basket</t>
        </is>
      </c>
      <c r="B25" s="21" t="n">
        <v>1.623864149006904</v>
      </c>
      <c r="C25" s="21" t="n">
        <v>1</v>
      </c>
      <c r="D25" s="21" t="n">
        <v>1.08930491715661</v>
      </c>
      <c r="E25" s="21" t="n">
        <v>3.7633752764057</v>
      </c>
      <c r="F25" s="7" t="n">
        <v>0.01229494062704617</v>
      </c>
      <c r="G25" s="8" t="n">
        <v>0</v>
      </c>
      <c r="H25" s="8" t="n">
        <v>0.4542</v>
      </c>
    </row>
    <row r="26">
      <c r="A26" s="17" t="inlineStr">
        <is>
          <t>6% p.a. | Direct basket</t>
        </is>
      </c>
      <c r="B26" s="21" t="n">
        <v>1.5213525635797</v>
      </c>
      <c r="C26" s="21" t="n">
        <v>0.2924004069597267</v>
      </c>
      <c r="D26" s="21" t="n">
        <v>1.100669632088966</v>
      </c>
      <c r="E26" s="21" t="n">
        <v>4.115035333515426</v>
      </c>
      <c r="F26" s="7" t="n">
        <v>0.01379699067368456</v>
      </c>
      <c r="G26" s="8" t="n">
        <v>0.45405</v>
      </c>
      <c r="H26" s="8" t="n">
        <v>0.4542</v>
      </c>
    </row>
    <row r="27">
      <c r="A27" s="17" t="inlineStr">
        <is>
          <t>9% p.a. | VT note</t>
        </is>
      </c>
      <c r="B27" s="21" t="n">
        <v>1.632414751970672</v>
      </c>
      <c r="C27" s="21" t="n">
        <v>1</v>
      </c>
      <c r="D27" s="21" t="n">
        <v>1.531600858896554</v>
      </c>
      <c r="E27" s="21" t="n">
        <v>2.688998865486607</v>
      </c>
      <c r="F27" s="7" t="n">
        <v>0.06279467947640494</v>
      </c>
      <c r="G27" s="8" t="n">
        <v>0</v>
      </c>
      <c r="H27" s="8" t="n">
        <v>0.1406</v>
      </c>
    </row>
    <row r="28">
      <c r="A28" s="17" t="inlineStr">
        <is>
          <t>9% p.a. | Protected note on raw basket</t>
        </is>
      </c>
      <c r="B28" s="21" t="n">
        <v>1.893299408673269</v>
      </c>
      <c r="C28" s="21" t="n">
        <v>1</v>
      </c>
      <c r="D28" s="21" t="n">
        <v>1.317471381777234</v>
      </c>
      <c r="E28" s="21" t="n">
        <v>4.616413314763465</v>
      </c>
      <c r="F28" s="7" t="n">
        <v>0.04017373720036987</v>
      </c>
      <c r="G28" s="8" t="n">
        <v>0</v>
      </c>
      <c r="H28" s="8" t="n">
        <v>0.35185</v>
      </c>
    </row>
    <row r="29">
      <c r="A29" s="17" t="inlineStr">
        <is>
          <t>9% p.a. | Direct basket</t>
        </is>
      </c>
      <c r="B29" s="21" t="n">
        <v>1.876859279147221</v>
      </c>
      <c r="C29" s="21" t="n">
        <v>0.3607279667886384</v>
      </c>
      <c r="D29" s="21" t="n">
        <v>1.357871976368822</v>
      </c>
      <c r="E29" s="21" t="n">
        <v>5.076628806904743</v>
      </c>
      <c r="F29" s="7" t="n">
        <v>0.04467170554813005</v>
      </c>
      <c r="G29" s="8" t="n">
        <v>0.35175</v>
      </c>
      <c r="H29" s="8" t="n">
        <v>0.35185</v>
      </c>
    </row>
    <row r="31">
      <c r="A31" s="2" t="inlineStr">
        <is>
          <t>7Y UST proxy multiple: 1.38x. Mean VT exposure 34%; realised index vol 9.8%.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Unit 15 risk section: VaR/ES, stress, sizing</t>
        </is>
      </c>
    </row>
    <row r="3">
      <c r="A3" s="17" t="inlineStr">
        <is>
          <t>Note fair value at issue (% notional)</t>
        </is>
      </c>
      <c r="B3" s="7" t="n">
        <v>0.98</v>
      </c>
    </row>
    <row r="4">
      <c r="A4" s="17" t="inlineStr">
        <is>
          <t>Delta: note change per 1% move in VT index</t>
        </is>
      </c>
      <c r="B4" s="7" t="n">
        <v>0.01177682610380087</v>
      </c>
    </row>
    <row r="5">
      <c r="A5" s="17" t="inlineStr">
        <is>
          <t>DV01: note change per +1bp rates</t>
        </is>
      </c>
      <c r="B5" s="22" t="n">
        <v>0.0001645165570305362</v>
      </c>
    </row>
    <row r="6">
      <c r="A6" s="17" t="inlineStr">
        <is>
          <t>10-day 99% VaR (delta-normal, % notional)</t>
        </is>
      </c>
      <c r="B6" s="7" t="n">
        <v>0.05504886813591172</v>
      </c>
    </row>
    <row r="7">
      <c r="A7" s="17" t="inlineStr">
        <is>
          <t>10-day 99% Expected Shortfall (% notional)</t>
        </is>
      </c>
      <c r="B7" s="7" t="n">
        <v>0.06312803091820644</v>
      </c>
    </row>
    <row r="8">
      <c r="A8" s="17" t="inlineStr">
        <is>
          <t>10-day 99% VaR (USD)</t>
        </is>
      </c>
      <c r="B8" s="16">
        <f>B6*Pricer!$B$5</f>
        <v/>
      </c>
    </row>
    <row r="9">
      <c r="A9" s="17" t="inlineStr">
        <is>
          <t>Family net worth (USD)</t>
        </is>
      </c>
      <c r="B9" s="5" t="n">
        <v>2000000000</v>
      </c>
    </row>
    <row r="10">
      <c r="A10" s="3" t="inlineStr">
        <is>
          <t>Stress (spot, vol and rates shocked together)</t>
        </is>
      </c>
      <c r="B10" s="3" t="inlineStr">
        <is>
          <t>VT index level</t>
        </is>
      </c>
      <c r="C10" s="3" t="inlineStr">
        <is>
          <t>Rate shift</t>
        </is>
      </c>
      <c r="D10" s="3" t="inlineStr">
        <is>
          <t>Note MTM</t>
        </is>
      </c>
      <c r="E10" s="3" t="inlineStr">
        <is>
          <t>MTM P&amp;L (USD)</t>
        </is>
      </c>
      <c r="F10" s="3" t="inlineStr">
        <is>
          <t>% of net worth</t>
        </is>
      </c>
    </row>
    <row r="11">
      <c r="A11" s="17" t="inlineStr">
        <is>
          <t>AI hardware crash: basket -30% in 1M, vol 27%-&gt;50%, rates -50bp</t>
        </is>
      </c>
      <c r="B11" s="7" t="n">
        <v>0.9055555555555556</v>
      </c>
      <c r="C11" s="7" t="n">
        <v>-0.005</v>
      </c>
      <c r="D11" s="7" t="n">
        <v>0.8751914881799825</v>
      </c>
      <c r="E11" s="16">
        <f>(D11-$B$3)*Pricer!$B$5</f>
        <v/>
      </c>
      <c r="F11" s="11">
        <f>E11/$B$9</f>
        <v/>
      </c>
    </row>
    <row r="12">
      <c r="A12" s="17" t="inlineStr">
        <is>
          <t>Taiwan gap: basket -20% overnight, rates unchanged</t>
        </is>
      </c>
      <c r="B12" s="7" t="n">
        <v>0.9259259259259259</v>
      </c>
      <c r="C12" s="7" t="n">
        <v>0</v>
      </c>
      <c r="D12" s="7" t="n">
        <v>0.8973891837882668</v>
      </c>
      <c r="E12" s="16">
        <f>(D12-$B$3)*Pricer!$B$5</f>
        <v/>
      </c>
      <c r="F12" s="11">
        <f>E12/$B$9</f>
        <v/>
      </c>
    </row>
    <row r="13">
      <c r="A13" s="17" t="inlineStr">
        <is>
          <t>Stagflation: basket -15%, rates +100bp</t>
        </is>
      </c>
      <c r="B13" s="7" t="n">
        <v>0.9444444444444444</v>
      </c>
      <c r="C13" s="7" t="n">
        <v>0.01</v>
      </c>
      <c r="D13" s="7" t="n">
        <v>0.930656522185227</v>
      </c>
      <c r="E13" s="16">
        <f>(D13-$B$3)*Pricer!$B$5</f>
        <v/>
      </c>
      <c r="F13" s="11">
        <f>E13/$B$9</f>
        <v/>
      </c>
    </row>
    <row r="14">
      <c r="A14" s="17" t="inlineStr">
        <is>
          <t>Bull: basket +25%, rates -50bp</t>
        </is>
      </c>
      <c r="B14" s="7" t="n">
        <v>1.092592592592593</v>
      </c>
      <c r="C14" s="7" t="n">
        <v>-0.005</v>
      </c>
      <c r="D14" s="7" t="n">
        <v>1.082940789753381</v>
      </c>
      <c r="E14" s="16">
        <f>(D14-$B$3)*Pricer!$B$5</f>
        <v/>
      </c>
      <c r="F14" s="11">
        <f>E14/$B$9</f>
        <v/>
      </c>
    </row>
    <row r="16">
      <c r="A16" s="14" t="inlineStr">
        <is>
          <t>Sizing identity (Unit 15)</t>
        </is>
      </c>
    </row>
    <row r="17">
      <c r="A17" s="17" t="inlineStr">
        <is>
          <t>Allocation as % of net worth</t>
        </is>
      </c>
      <c r="B17" s="11">
        <f>Pricer!B5/B9</f>
        <v/>
      </c>
    </row>
    <row r="18">
      <c r="A18" s="17" t="inlineStr">
        <is>
          <t>Contractual max loss at maturity (ex issuer default)</t>
        </is>
      </c>
      <c r="B18" s="11">
        <f>1-Pricer!B7</f>
        <v/>
      </c>
    </row>
    <row r="19">
      <c r="A19" s="17" t="inlineStr">
        <is>
          <t>Worst stress MTM loss (USD) = notional x (fair value - worst MTM)</t>
        </is>
      </c>
      <c r="B19" s="16">
        <f>-MIN(E11:E14)</f>
        <v/>
      </c>
    </row>
    <row r="20">
      <c r="A20" s="17" t="inlineStr">
        <is>
          <t>Worst stress MTM loss as % of net worth</t>
        </is>
      </c>
      <c r="B20" s="11">
        <f>B19/B9</f>
        <v/>
      </c>
    </row>
    <row r="22">
      <c r="A22" s="2" t="inlineStr">
        <is>
          <t>Exits: (1) profit target: sell back on the issuer bid once the index is up 60%; (2) no stop-loss on a protected note, the floor is the stop; (3) thesis invalidation: Taiwan blockade or sweeping chip export bans; (4) time: hold to maturity.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Underlying basket: Asian AI-hardware leaders (equal weight, USD quanto)</t>
        </is>
      </c>
    </row>
    <row r="2">
      <c r="A2" s="2" t="inlineStr">
        <is>
          <t>Fill the yellow columns from Bloomberg (CUR_MKT_CAP in USD Mn; 6M average daily traded value in USD Mn). Example values in row 5 are illustrative only.</t>
        </is>
      </c>
    </row>
    <row r="4">
      <c r="A4" s="3" t="inlineStr">
        <is>
          <t>Bloomberg</t>
        </is>
      </c>
      <c r="B4" s="3" t="inlineStr">
        <is>
          <t>Name</t>
        </is>
      </c>
      <c r="C4" s="3" t="inlineStr">
        <is>
          <t>Country</t>
        </is>
      </c>
      <c r="D4" s="3" t="inlineStr">
        <is>
          <t>Theme</t>
        </is>
      </c>
      <c r="E4" s="3" t="inlineStr">
        <is>
          <t>Weight</t>
        </is>
      </c>
      <c r="F4" s="3" t="inlineStr">
        <is>
          <t>Mkt cap USD Mn</t>
        </is>
      </c>
      <c r="G4" s="3" t="inlineStr">
        <is>
          <t>6M ADV USD Mn</t>
        </is>
      </c>
      <c r="H4" s="3" t="inlineStr">
        <is>
          <t>Eligible?</t>
        </is>
      </c>
    </row>
    <row r="5">
      <c r="A5" s="23" t="inlineStr">
        <is>
          <t>2330 TT</t>
        </is>
      </c>
      <c r="B5" s="23" t="inlineStr">
        <is>
          <t>TSMC</t>
        </is>
      </c>
      <c r="C5" s="23" t="inlineStr">
        <is>
          <t>TW</t>
        </is>
      </c>
      <c r="D5" s="23" t="inlineStr">
        <is>
          <t>Foundry / AI accelerators</t>
        </is>
      </c>
      <c r="E5" s="24">
        <f>1/COUNTA($A$5:$A$17)</f>
        <v/>
      </c>
      <c r="F5" s="25" t="n">
        <v>950000</v>
      </c>
      <c r="G5" s="25" t="n">
        <v>4000</v>
      </c>
      <c r="H5" s="17">
        <f>IF(OR(F5="",G5=""),"fill",IF(AND(F5&gt;=250,G5&gt;=5),"OK","FAIL"))</f>
        <v/>
      </c>
    </row>
    <row r="6">
      <c r="A6" s="23" t="inlineStr">
        <is>
          <t>2454 TT</t>
        </is>
      </c>
      <c r="B6" s="23" t="inlineStr">
        <is>
          <t>MediaTek</t>
        </is>
      </c>
      <c r="C6" s="23" t="inlineStr">
        <is>
          <t>TW</t>
        </is>
      </c>
      <c r="D6" s="23" t="inlineStr">
        <is>
          <t>Custom AI ASICs / edge AI</t>
        </is>
      </c>
      <c r="E6" s="24">
        <f>1/COUNTA($A$5:$A$17)</f>
        <v/>
      </c>
      <c r="F6" s="25" t="n"/>
      <c r="G6" s="25" t="n"/>
      <c r="H6" s="17">
        <f>IF(OR(F6="",G6=""),"fill",IF(AND(F6&gt;=250,G6&gt;=5),"OK","FAIL"))</f>
        <v/>
      </c>
    </row>
    <row r="7">
      <c r="A7" s="23" t="inlineStr">
        <is>
          <t>000660 KS</t>
        </is>
      </c>
      <c r="B7" s="23" t="inlineStr">
        <is>
          <t>SK Hynix</t>
        </is>
      </c>
      <c r="C7" s="23" t="inlineStr">
        <is>
          <t>KR</t>
        </is>
      </c>
      <c r="D7" s="23" t="inlineStr">
        <is>
          <t>HBM memory</t>
        </is>
      </c>
      <c r="E7" s="24">
        <f>1/COUNTA($A$5:$A$17)</f>
        <v/>
      </c>
      <c r="F7" s="25" t="n"/>
      <c r="G7" s="25" t="n"/>
      <c r="H7" s="17">
        <f>IF(OR(F7="",G7=""),"fill",IF(AND(F7&gt;=250,G7&gt;=5),"OK","FAIL"))</f>
        <v/>
      </c>
    </row>
    <row r="8">
      <c r="A8" s="23" t="inlineStr">
        <is>
          <t>005930 KS</t>
        </is>
      </c>
      <c r="B8" s="23" t="inlineStr">
        <is>
          <t>Samsung Electronics</t>
        </is>
      </c>
      <c r="C8" s="23" t="inlineStr">
        <is>
          <t>KR</t>
        </is>
      </c>
      <c r="D8" s="23" t="inlineStr">
        <is>
          <t>HBM / memory</t>
        </is>
      </c>
      <c r="E8" s="24">
        <f>1/COUNTA($A$5:$A$17)</f>
        <v/>
      </c>
      <c r="F8" s="25" t="n"/>
      <c r="G8" s="25" t="n"/>
      <c r="H8" s="17">
        <f>IF(OR(F8="",G8=""),"fill",IF(AND(F8&gt;=250,G8&gt;=5),"OK","FAIL"))</f>
        <v/>
      </c>
    </row>
    <row r="9">
      <c r="A9" s="23" t="inlineStr">
        <is>
          <t>8035 JT</t>
        </is>
      </c>
      <c r="B9" s="23" t="inlineStr">
        <is>
          <t>Tokyo Electron</t>
        </is>
      </c>
      <c r="C9" s="23" t="inlineStr">
        <is>
          <t>JP</t>
        </is>
      </c>
      <c r="D9" s="23" t="inlineStr">
        <is>
          <t>Wafer-fab equipment</t>
        </is>
      </c>
      <c r="E9" s="24">
        <f>1/COUNTA($A$5:$A$17)</f>
        <v/>
      </c>
      <c r="F9" s="25" t="n"/>
      <c r="G9" s="25" t="n"/>
      <c r="H9" s="17">
        <f>IF(OR(F9="",G9=""),"fill",IF(AND(F9&gt;=250,G9&gt;=5),"OK","FAIL"))</f>
        <v/>
      </c>
    </row>
    <row r="10">
      <c r="A10" s="23" t="inlineStr">
        <is>
          <t>6857 JT</t>
        </is>
      </c>
      <c r="B10" s="23" t="inlineStr">
        <is>
          <t>Advantest</t>
        </is>
      </c>
      <c r="C10" s="23" t="inlineStr">
        <is>
          <t>JP</t>
        </is>
      </c>
      <c r="D10" s="23" t="inlineStr">
        <is>
          <t>AI chip testing</t>
        </is>
      </c>
      <c r="E10" s="24">
        <f>1/COUNTA($A$5:$A$17)</f>
        <v/>
      </c>
      <c r="F10" s="25" t="n"/>
      <c r="G10" s="25" t="n"/>
      <c r="H10" s="17">
        <f>IF(OR(F10="",G10=""),"fill",IF(AND(F10&gt;=250,G10&gt;=5),"OK","FAIL"))</f>
        <v/>
      </c>
    </row>
    <row r="11">
      <c r="A11" s="23" t="inlineStr">
        <is>
          <t>6146 JT</t>
        </is>
      </c>
      <c r="B11" s="23" t="inlineStr">
        <is>
          <t>Disco</t>
        </is>
      </c>
      <c r="C11" s="23" t="inlineStr">
        <is>
          <t>JP</t>
        </is>
      </c>
      <c r="D11" s="23" t="inlineStr">
        <is>
          <t>Dicing / grinding for HBM</t>
        </is>
      </c>
      <c r="E11" s="24">
        <f>1/COUNTA($A$5:$A$17)</f>
        <v/>
      </c>
      <c r="F11" s="25" t="n"/>
      <c r="G11" s="25" t="n"/>
      <c r="H11" s="17">
        <f>IF(OR(F11="",G11=""),"fill",IF(AND(F11&gt;=250,G11&gt;=5),"OK","FAIL"))</f>
        <v/>
      </c>
    </row>
    <row r="12">
      <c r="A12" s="23" t="inlineStr">
        <is>
          <t>4063 JT</t>
        </is>
      </c>
      <c r="B12" s="23" t="inlineStr">
        <is>
          <t>Shin-Etsu Chemical</t>
        </is>
      </c>
      <c r="C12" s="23" t="inlineStr">
        <is>
          <t>JP</t>
        </is>
      </c>
      <c r="D12" s="23" t="inlineStr">
        <is>
          <t>Silicon wafers / materials</t>
        </is>
      </c>
      <c r="E12" s="24">
        <f>1/COUNTA($A$5:$A$17)</f>
        <v/>
      </c>
      <c r="F12" s="25" t="n"/>
      <c r="G12" s="25" t="n"/>
      <c r="H12" s="17">
        <f>IF(OR(F12="",G12=""),"fill",IF(AND(F12&gt;=250,G12&gt;=5),"OK","FAIL"))</f>
        <v/>
      </c>
    </row>
    <row r="13">
      <c r="A13" s="23" t="inlineStr">
        <is>
          <t>3711 TT</t>
        </is>
      </c>
      <c r="B13" s="23" t="inlineStr">
        <is>
          <t>ASE Technology</t>
        </is>
      </c>
      <c r="C13" s="23" t="inlineStr">
        <is>
          <t>TW</t>
        </is>
      </c>
      <c r="D13" s="23" t="inlineStr">
        <is>
          <t>Advanced packaging</t>
        </is>
      </c>
      <c r="E13" s="24">
        <f>1/COUNTA($A$5:$A$17)</f>
        <v/>
      </c>
      <c r="F13" s="25" t="n"/>
      <c r="G13" s="25" t="n"/>
      <c r="H13" s="17">
        <f>IF(OR(F13="",G13=""),"fill",IF(AND(F13&gt;=250,G13&gt;=5),"OK","FAIL"))</f>
        <v/>
      </c>
    </row>
    <row r="14">
      <c r="A14" s="23" t="inlineStr">
        <is>
          <t>4062 JT</t>
        </is>
      </c>
      <c r="B14" s="23" t="inlineStr">
        <is>
          <t>Ibiden</t>
        </is>
      </c>
      <c r="C14" s="23" t="inlineStr">
        <is>
          <t>JP</t>
        </is>
      </c>
      <c r="D14" s="23" t="inlineStr">
        <is>
          <t>AI chip substrates</t>
        </is>
      </c>
      <c r="E14" s="24">
        <f>1/COUNTA($A$5:$A$17)</f>
        <v/>
      </c>
      <c r="F14" s="25" t="n"/>
      <c r="G14" s="25" t="n"/>
      <c r="H14" s="17">
        <f>IF(OR(F14="",G14=""),"fill",IF(AND(F14&gt;=250,G14&gt;=5),"OK","FAIL"))</f>
        <v/>
      </c>
    </row>
    <row r="15">
      <c r="A15" s="23" t="inlineStr">
        <is>
          <t>2317 TT</t>
        </is>
      </c>
      <c r="B15" s="23" t="inlineStr">
        <is>
          <t>Hon Hai (Foxconn)</t>
        </is>
      </c>
      <c r="C15" s="23" t="inlineStr">
        <is>
          <t>TW</t>
        </is>
      </c>
      <c r="D15" s="23" t="inlineStr">
        <is>
          <t>AI server assembly</t>
        </is>
      </c>
      <c r="E15" s="24">
        <f>1/COUNTA($A$5:$A$17)</f>
        <v/>
      </c>
      <c r="F15" s="25" t="n"/>
      <c r="G15" s="25" t="n"/>
      <c r="H15" s="17">
        <f>IF(OR(F15="",G15=""),"fill",IF(AND(F15&gt;=250,G15&gt;=5),"OK","FAIL"))</f>
        <v/>
      </c>
    </row>
    <row r="16">
      <c r="A16" s="23" t="inlineStr">
        <is>
          <t>2382 TT</t>
        </is>
      </c>
      <c r="B16" s="23" t="inlineStr">
        <is>
          <t>Quanta Computer</t>
        </is>
      </c>
      <c r="C16" s="23" t="inlineStr">
        <is>
          <t>TW</t>
        </is>
      </c>
      <c r="D16" s="23" t="inlineStr">
        <is>
          <t>AI servers</t>
        </is>
      </c>
      <c r="E16" s="24">
        <f>1/COUNTA($A$5:$A$17)</f>
        <v/>
      </c>
      <c r="F16" s="25" t="n"/>
      <c r="G16" s="25" t="n"/>
      <c r="H16" s="17">
        <f>IF(OR(F16="",G16=""),"fill",IF(AND(F16&gt;=250,G16&gt;=5),"OK","FAIL"))</f>
        <v/>
      </c>
    </row>
    <row r="17">
      <c r="A17" s="23" t="inlineStr">
        <is>
          <t>2308 TT</t>
        </is>
      </c>
      <c r="B17" s="23" t="inlineStr">
        <is>
          <t>Delta Electronics</t>
        </is>
      </c>
      <c r="C17" s="23" t="inlineStr">
        <is>
          <t>TW</t>
        </is>
      </c>
      <c r="D17" s="23" t="inlineStr">
        <is>
          <t>Data-centre power / cooling</t>
        </is>
      </c>
      <c r="E17" s="24">
        <f>1/COUNTA($A$5:$A$17)</f>
        <v/>
      </c>
      <c r="F17" s="25" t="n"/>
      <c r="G17" s="25" t="n"/>
      <c r="H17" s="17">
        <f>IF(OR(F17="",G17=""),"fill",IF(AND(F17&gt;=250,G17&gt;=5),"OK","FAIL"))</f>
        <v/>
      </c>
    </row>
    <row r="18">
      <c r="A18" s="17" t="inlineStr">
        <is>
          <t>Total weight</t>
        </is>
      </c>
      <c r="E18" s="24">
        <f>SUM(E5:E17)</f>
        <v/>
      </c>
    </row>
    <row r="20">
      <c r="A20" s="2" t="inlineStr">
        <is>
          <t>Excluded on purpose: data-centre operators/REITs, telecom towers, renewables, real estate (overlap with family businesses); names on US restriction lists (e.g. SMIC). Rules: market cap &gt;= USD 250M; listed ADV &gt; USD 5M over 6M; no OFAC-sanctioned countries; Bloomberg searchable.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Indicative term sheet (links to Pricer)</t>
        </is>
      </c>
    </row>
    <row r="3">
      <c r="A3" s="14" t="inlineStr">
        <is>
          <t>Issuer</t>
        </is>
      </c>
      <c r="B3" s="26" t="inlineStr">
        <is>
          <t>Natixis (guaranteed by BPCE)</t>
        </is>
      </c>
    </row>
    <row r="4">
      <c r="A4" s="14" t="inlineStr">
        <is>
          <t>Client</t>
        </is>
      </c>
      <c r="B4" s="26" t="inlineStr">
        <is>
          <t>NKE Private Wealth (Chak family office)</t>
        </is>
      </c>
    </row>
    <row r="5">
      <c r="A5" s="14" t="inlineStr">
        <is>
          <t>Notional</t>
        </is>
      </c>
      <c r="B5" s="27">
        <f>TEXT(Pricer!B5,"$#,##0")</f>
        <v/>
      </c>
    </row>
    <row r="6">
      <c r="A6" s="14" t="inlineStr">
        <is>
          <t>Currency</t>
        </is>
      </c>
      <c r="B6" s="26" t="inlineStr">
        <is>
          <t>USD; underlying quanto (no FX exposure)</t>
        </is>
      </c>
    </row>
    <row r="7">
      <c r="A7" s="14" t="inlineStr">
        <is>
          <t>Trade / issue date</t>
        </is>
      </c>
      <c r="B7" s="26" t="inlineStr">
        <is>
          <t>17 Sep 2026</t>
        </is>
      </c>
    </row>
    <row r="8">
      <c r="A8" s="14" t="inlineStr">
        <is>
          <t>Maturity</t>
        </is>
      </c>
      <c r="B8" s="27">
        <f>"Sep "&amp;(2026+Pricer!B6)&amp;" ("&amp;Pricer!B6&amp;"Y)"</f>
        <v/>
      </c>
    </row>
    <row r="9">
      <c r="A9" s="14" t="inlineStr">
        <is>
          <t>Underlying</t>
        </is>
      </c>
      <c r="B9" s="26" t="inlineStr">
        <is>
          <t>Natixis Asia Digital Bridge 10% VT Index (USD, 1% decrement), on an equal-weight basket of 13 Asian AI-hardware stocks</t>
        </is>
      </c>
    </row>
    <row r="10">
      <c r="A10" s="14" t="inlineStr">
        <is>
          <t>Index rules</t>
        </is>
      </c>
      <c r="B10" s="26" t="inlineStr">
        <is>
          <t>Daily exposure = min(10% / max(20d, 60d realised vol), 150%), cash on the remainder, minus 1% p.a.</t>
        </is>
      </c>
    </row>
    <row r="11">
      <c r="A11" s="14" t="inlineStr">
        <is>
          <t>Capital protection</t>
        </is>
      </c>
      <c r="B11" s="27">
        <f>TEXT(Pricer!B7,"0%")&amp;" at maturity, subject to issuer credit"</f>
        <v/>
      </c>
    </row>
    <row r="12">
      <c r="A12" s="14" t="inlineStr">
        <is>
          <t>Participation</t>
        </is>
      </c>
      <c r="B12" s="27">
        <f>TEXT(Pricer!B23,"0%")&amp;" of index performance, uncapped"</f>
        <v/>
      </c>
    </row>
    <row r="13">
      <c r="A13" s="14" t="inlineStr">
        <is>
          <t>Redemption</t>
        </is>
      </c>
      <c r="B13" s="26" t="inlineStr">
        <is>
          <t>Protection + Participation x max(0, Index final / Index initial - 1)</t>
        </is>
      </c>
    </row>
    <row r="14">
      <c r="A14" s="14" t="inlineStr">
        <is>
          <t>Optional enhancements</t>
        </is>
      </c>
      <c r="B14" s="26" t="inlineStr">
        <is>
          <t>12M final averaging (raises participation); Legacy Lock 130/160/190 (lowers it); see MC Results</t>
        </is>
      </c>
    </row>
    <row r="15">
      <c r="A15" s="14" t="inlineStr">
        <is>
          <t>Appendix variant</t>
        </is>
      </c>
      <c r="B15" s="26" t="inlineStr">
        <is>
          <t>Best-of with a spot Bitcoin ETF sleeve (IBIT US); not in the core proposal</t>
        </is>
      </c>
    </row>
    <row r="16">
      <c r="A16" s="14" t="inlineStr">
        <is>
          <t>Secondary market</t>
        </is>
      </c>
      <c r="B16" s="26" t="inlineStr">
        <is>
          <t>Natixis indicative daily bid, under normal market conditions</t>
        </is>
      </c>
    </row>
    <row r="17">
      <c r="A17" s="14" t="inlineStr">
        <is>
          <t>Pricing basis</t>
        </is>
      </c>
      <c r="B17" s="26" t="inlineStr">
        <is>
          <t>Funding from the game-rules grid; option inputs are placeholders to be refreshed on Bloomberg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2026-10-01T04:02:01Z</dcterms:created>
  <dcterms:modified xmlns:dcterms="http://purl.org/dc/terms/" xmlns:xsi="http://www.w3.org/2001/XMLSchema-instance" xsi:type="dcterms:W3CDTF">2026-10-01T04:02:01Z</dcterms:modified>
</cp:coreProperties>
</file>